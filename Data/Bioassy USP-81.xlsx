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5601"/>
  <workbookPr defaultThemeVersion="153222"/>
  <bookViews>
    <workbookView xWindow="-120" yWindow="-120" windowWidth="24240" windowHeight="13140" activeTab="1" tabRatio="60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Sheet1!$A$1:$Q$27</definedName>
    <definedName name="_xlnm.Print_Area" localSheetId="1">Sheet2!$A$1:$S$56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<sst xmlns="http://schemas.openxmlformats.org/spreadsheetml/2006/main" uniqueCount="61" count="61">
  <si>
    <t>Standard</t>
  </si>
  <si>
    <t>Concentration</t>
  </si>
  <si>
    <t>Plate replicate</t>
  </si>
  <si>
    <t>Zone 1(mm)</t>
  </si>
  <si>
    <t>Zone 2(mm)</t>
  </si>
  <si>
    <t>Zone 3(mm)</t>
  </si>
  <si>
    <t>Mean (mm)</t>
  </si>
  <si>
    <t>SD</t>
  </si>
  <si>
    <t>%RSD</t>
  </si>
  <si>
    <t>Zone 5(mm)</t>
  </si>
  <si>
    <t>Zone 4(mm)</t>
  </si>
  <si>
    <t>Zone 6(mm)</t>
  </si>
  <si>
    <t>Mean(mm)</t>
  </si>
  <si>
    <t>Corrected mean (mm)</t>
  </si>
  <si>
    <t>Reference (S3)</t>
  </si>
  <si>
    <t>Sample</t>
  </si>
  <si>
    <t>S1</t>
  </si>
  <si>
    <t>S2</t>
  </si>
  <si>
    <t>S5</t>
  </si>
  <si>
    <t>S4</t>
  </si>
  <si>
    <t>Unknown</t>
  </si>
  <si>
    <t>U3</t>
  </si>
  <si>
    <t>B=</t>
  </si>
  <si>
    <t>S=</t>
  </si>
  <si>
    <t>S1+S2+S3+S4+S5/5</t>
  </si>
  <si>
    <t>Name of Product  / Raw Material</t>
  </si>
  <si>
    <t xml:space="preserve">Quality Control Department </t>
  </si>
  <si>
    <t>Mfg. Date:</t>
  </si>
  <si>
    <t>Exp. Date:</t>
  </si>
  <si>
    <t>Method Used:</t>
  </si>
  <si>
    <t>Batch No. /GRN No.</t>
  </si>
  <si>
    <t>QC Ref. No.</t>
  </si>
  <si>
    <t>Test Date:</t>
  </si>
  <si>
    <t>Report Date:</t>
  </si>
  <si>
    <t>(4S5+2S4-2S2-4S1)/5(LS5-LS1)</t>
  </si>
  <si>
    <t>B= Slop of regression line formula:</t>
  </si>
  <si>
    <t>Mean of five Standard Values</t>
  </si>
  <si>
    <t>Natural log of sample concentration=</t>
  </si>
  <si>
    <t xml:space="preserve">Median concentration= </t>
  </si>
  <si>
    <t>LN(Median)+[(corrective zone of sample - S)/B]</t>
  </si>
  <si>
    <t>natural log (LN)=inverse of Exp.</t>
  </si>
  <si>
    <t>% of sample conc.=</t>
  </si>
  <si>
    <t>sample conc/median conc x100</t>
  </si>
  <si>
    <t>%</t>
  </si>
  <si>
    <t>Keys:</t>
  </si>
  <si>
    <t>S= mean of five standard values</t>
  </si>
  <si>
    <t>Performed By</t>
  </si>
  <si>
    <t>Checked By:</t>
  </si>
  <si>
    <t>B=Slop of regression line</t>
  </si>
  <si>
    <t>(4S5+2S4-2S2-4S1)</t>
  </si>
  <si>
    <t>=</t>
  </si>
  <si>
    <t>5*(LS5-LS1)</t>
  </si>
  <si>
    <t>LS5-LS1</t>
  </si>
  <si>
    <t>06/2019</t>
  </si>
  <si>
    <t>06/2024</t>
  </si>
  <si>
    <t>Doc. No.</t>
  </si>
  <si>
    <t>Revision no.</t>
  </si>
  <si>
    <t>Method No.</t>
  </si>
  <si>
    <t xml:space="preserve"> B=</t>
  </si>
  <si>
    <t>Bio Assay Report</t>
  </si>
  <si>
    <t xml:space="preserve"> plate Method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</si>
</sst>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10">
    <font>
      <name val="Calibri"/>
      <sz val="11"/>
    </font>
    <font>
      <name val="Calibri"/>
      <sz val="11"/>
      <color rgb="FF000000"/>
    </font>
    <font>
      <name val="Calibri"/>
      <sz val="22"/>
      <color rgb="FF000000"/>
    </font>
    <font>
      <name val="Arial"/>
      <b/>
      <sz val="10"/>
    </font>
    <font>
      <name val="Arial"/>
      <b/>
      <sz val="10"/>
      <color rgb="FF000000"/>
    </font>
    <font>
      <name val="Arial"/>
      <sz val="10"/>
      <color rgb="FF000000"/>
    </font>
    <font>
      <name val="Calibri"/>
      <b/>
      <sz val="11"/>
      <color rgb="FF000000"/>
    </font>
    <font>
      <name val="Calibri"/>
      <b/>
      <sz val="12"/>
      <color rgb="FF000000"/>
    </font>
    <font>
      <name val="Calibri"/>
      <b/>
      <u/>
      <sz val="11"/>
      <color rgb="FF000000"/>
    </font>
    <font>
      <name val="Arial"/>
      <sz val="12"/>
      <color rgb="FF20212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1" xfId="0" applyBorder="1" applyAlignment="1">
      <alignment horizontal="center" vertical="center"/>
    </xf>
    <xf numFmtId="0" fontId="1" fillId="0" borderId="2" xfId="0" applyBorder="1" applyAlignment="1">
      <alignment horizontal="center" vertical="center"/>
    </xf>
    <xf numFmtId="0" fontId="1" fillId="0" borderId="3" xfId="0" applyBorder="1" applyAlignment="1">
      <alignment horizontal="center" vertical="center"/>
    </xf>
    <xf numFmtId="0" fontId="1" fillId="0" borderId="4" xfId="0" applyBorder="1" applyAlignment="1">
      <alignment horizontal="center" vertical="center"/>
    </xf>
    <xf numFmtId="0" fontId="1" fillId="0" borderId="5" xfId="0" applyBorder="1" applyAlignment="1">
      <alignment horizontal="center" vertical="center"/>
    </xf>
    <xf numFmtId="0" fontId="1" fillId="0" borderId="6" xfId="0" applyBorder="1" applyAlignment="1">
      <alignment horizontal="center" vertical="center"/>
    </xf>
    <xf numFmtId="0" fontId="1" fillId="0" borderId="7" xfId="0" applyBorder="1" applyAlignment="1">
      <alignment horizontal="center" vertical="center"/>
    </xf>
    <xf numFmtId="0" fontId="1" fillId="0" borderId="0" xfId="0" applyBorder="1" applyAlignment="1">
      <alignment horizontal="center" vertical="center"/>
    </xf>
    <xf numFmtId="0" fontId="1" fillId="0" borderId="8" xfId="0" applyBorder="1" applyAlignment="1">
      <alignment horizontal="center" vertical="center"/>
    </xf>
    <xf numFmtId="0" fontId="1" fillId="0" borderId="9" xfId="0" applyBorder="1" applyAlignment="1">
      <alignment horizontal="center" vertical="center"/>
    </xf>
    <xf numFmtId="0" fontId="1" fillId="0" borderId="10" xfId="0" applyBorder="1" applyAlignment="1">
      <alignment horizontal="center" vertical="center"/>
    </xf>
    <xf numFmtId="0" fontId="1" fillId="0" borderId="11" xfId="0" applyBorder="1" applyAlignment="1">
      <alignment horizontal="center" vertical="center"/>
    </xf>
    <xf numFmtId="0" fontId="1" fillId="0" borderId="12" xfId="0" applyBorder="1" applyAlignment="1">
      <alignment horizontal="center" vertical="center"/>
    </xf>
    <xf numFmtId="0" fontId="1" fillId="0" borderId="13" xfId="0" applyBorder="1" applyAlignment="1">
      <alignment horizontal="center" vertical="center"/>
    </xf>
    <xf numFmtId="0" fontId="1" fillId="0" borderId="14" xfId="0" applyBorder="1" applyAlignment="1">
      <alignment horizontal="center" vertical="center"/>
    </xf>
    <xf numFmtId="0" fontId="1" fillId="0" borderId="14" xfId="0" applyBorder="1" applyAlignment="1">
      <alignment horizontal="center" vertical="center"/>
    </xf>
    <xf numFmtId="0" fontId="1" fillId="0" borderId="15" xfId="0" applyBorder="1" applyAlignment="1">
      <alignment horizontal="center" vertical="center"/>
    </xf>
    <xf numFmtId="0" fontId="1" fillId="0" borderId="16" xfId="0" applyBorder="1" applyAlignment="1">
      <alignment horizontal="center" vertical="center"/>
    </xf>
    <xf numFmtId="0" fontId="1" fillId="0" borderId="17" xfId="0" applyBorder="1" applyAlignment="1">
      <alignment horizontal="center" vertical="center"/>
    </xf>
    <xf numFmtId="0" fontId="1" fillId="0" borderId="18" xfId="0" applyBorder="1" applyAlignment="1">
      <alignment horizontal="center" vertical="center"/>
    </xf>
    <xf numFmtId="0" fontId="1" fillId="0" borderId="19" xfId="0" applyBorder="1" applyAlignment="1">
      <alignment horizontal="center" vertical="center"/>
    </xf>
    <xf numFmtId="0" fontId="1" fillId="0" borderId="18" xfId="0" applyBorder="1" applyAlignment="1">
      <alignment horizontal="center" vertical="center"/>
    </xf>
    <xf numFmtId="0" fontId="1" fillId="0" borderId="0" xfId="0" applyBorder="1" applyAlignment="1">
      <alignment horizontal="center" vertical="center"/>
    </xf>
    <xf numFmtId="0" fontId="1" fillId="0" borderId="20" xfId="0" applyBorder="1" applyAlignment="1">
      <alignment horizontal="center" vertical="center"/>
    </xf>
    <xf numFmtId="0" fontId="1" fillId="0" borderId="21" xfId="0" applyBorder="1" applyAlignment="1">
      <alignment horizontal="center" vertical="center"/>
    </xf>
    <xf numFmtId="0" fontId="1" fillId="0" borderId="22" xfId="0" applyBorder="1" applyAlignment="1">
      <alignment horizontal="center" vertical="center"/>
    </xf>
    <xf numFmtId="0" fontId="1" fillId="0" borderId="22" xfId="0" applyBorder="1" applyAlignment="1">
      <alignment horizontal="center" vertical="center"/>
    </xf>
    <xf numFmtId="0" fontId="1" fillId="0" borderId="12" xfId="0" applyBorder="1" applyAlignment="1">
      <alignment horizontal="center" vertical="center"/>
    </xf>
    <xf numFmtId="0" fontId="1" fillId="0" borderId="23" xfId="0" applyBorder="1" applyAlignment="1">
      <alignment horizontal="center" vertical="center"/>
    </xf>
    <xf numFmtId="0" fontId="1" fillId="0" borderId="24" xfId="0" applyBorder="1" applyAlignment="1">
      <alignment horizontal="center" vertical="center"/>
    </xf>
    <xf numFmtId="0" fontId="1" fillId="0" borderId="25" xfId="0" applyBorder="1" applyAlignment="1">
      <alignment horizontal="center" vertical="center"/>
    </xf>
    <xf numFmtId="0" fontId="1" fillId="0" borderId="26" xfId="0" applyBorder="1" applyAlignment="1">
      <alignment horizontal="center" vertical="center"/>
    </xf>
    <xf numFmtId="0" fontId="1" fillId="0" borderId="19" xfId="0" applyBorder="1">
      <alignment vertical="center"/>
    </xf>
    <xf numFmtId="0" fontId="1" fillId="0" borderId="0" xfId="0" applyBorder="1">
      <alignment vertical="center"/>
    </xf>
    <xf numFmtId="0" fontId="1" fillId="0" borderId="27" xfId="0" applyBorder="1">
      <alignment vertical="center"/>
    </xf>
    <xf numFmtId="0" fontId="1" fillId="0" borderId="28" xfId="0" applyBorder="1">
      <alignment vertical="center"/>
    </xf>
    <xf numFmtId="0" fontId="1" fillId="0" borderId="0" xfId="0" applyBorder="1">
      <alignment vertical="center"/>
    </xf>
    <xf numFmtId="0" fontId="1" fillId="0" borderId="0" xfId="0" applyBorder="1" applyAlignment="1">
      <alignment vertical="bottom"/>
    </xf>
    <xf numFmtId="0" fontId="1" fillId="0" borderId="29" xfId="0" applyBorder="1" applyAlignment="1">
      <alignment horizontal="center" vertical="center"/>
    </xf>
    <xf numFmtId="0" fontId="1" fillId="0" borderId="30" xfId="0" applyBorder="1" applyAlignment="1">
      <alignment horizontal="center" vertical="center"/>
    </xf>
    <xf numFmtId="0" fontId="1" fillId="0" borderId="31" xfId="0" applyBorder="1" applyAlignment="1">
      <alignment horizontal="center" vertical="center"/>
    </xf>
    <xf numFmtId="0" fontId="1" fillId="0" borderId="32" xfId="0" applyBorder="1" applyAlignment="1">
      <alignment horizontal="center" vertical="center"/>
    </xf>
    <xf numFmtId="0" fontId="1" fillId="0" borderId="23" xfId="0" applyBorder="1" applyAlignment="1">
      <alignment horizontal="center" vertical="center"/>
    </xf>
    <xf numFmtId="0" fontId="1" fillId="0" borderId="24" xfId="0" applyBorder="1" applyAlignment="1">
      <alignment horizontal="center" vertical="center"/>
    </xf>
    <xf numFmtId="0" fontId="1" fillId="0" borderId="23" xfId="0" applyBorder="1" applyAlignment="1">
      <alignment horizontal="center" vertical="center"/>
    </xf>
    <xf numFmtId="0" fontId="1" fillId="0" borderId="24" xfId="0" applyBorder="1" applyAlignment="1">
      <alignment horizontal="center" vertical="center"/>
    </xf>
    <xf numFmtId="0" fontId="2" fillId="0" borderId="33" xfId="0" applyFont="1" applyBorder="1" applyAlignment="1">
      <alignment horizontal="center" vertical="bottom"/>
    </xf>
    <xf numFmtId="0" fontId="2" fillId="0" borderId="34" xfId="0" applyFont="1" applyBorder="1" applyAlignment="1">
      <alignment horizontal="center" vertical="bottom"/>
    </xf>
    <xf numFmtId="0" fontId="2" fillId="0" borderId="35" xfId="0" applyFont="1" applyBorder="1" applyAlignment="1">
      <alignment horizontal="center" vertical="bottom"/>
    </xf>
    <xf numFmtId="0" fontId="1" fillId="0" borderId="36" xfId="0" applyFont="1" applyBorder="1" applyAlignment="1">
      <alignment horizontal="center" vertical="bottom"/>
    </xf>
    <xf numFmtId="0" fontId="1" fillId="0" borderId="35" xfId="0" applyFont="1" applyBorder="1" applyAlignment="1">
      <alignment horizontal="center" vertical="bottom"/>
    </xf>
    <xf numFmtId="0" fontId="1" fillId="0" borderId="33" xfId="0" applyFont="1" applyBorder="1" applyAlignment="1">
      <alignment horizontal="center" vertical="bottom"/>
    </xf>
    <xf numFmtId="0" fontId="1" fillId="0" borderId="33" xfId="0" applyFont="1" applyBorder="1" applyAlignment="1">
      <alignment horizontal="center" vertical="bottom"/>
    </xf>
    <xf numFmtId="0" fontId="1" fillId="0" borderId="33" xfId="0" applyFont="1" applyBorder="1" applyAlignment="1" quotePrefix="1">
      <alignment horizontal="center" vertical="bottom"/>
    </xf>
    <xf numFmtId="0" fontId="2" fillId="0" borderId="0" xfId="0" applyFont="1" applyBorder="1" applyAlignment="1">
      <alignment horizontal="center" vertical="bottom"/>
    </xf>
    <xf numFmtId="0" fontId="1" fillId="0" borderId="0" xfId="0" applyFont="1" applyBorder="1" applyAlignment="1">
      <alignment horizontal="center" vertical="bottom"/>
    </xf>
    <xf numFmtId="0" fontId="3" fillId="0" borderId="0" xfId="0" applyFont="1" applyBorder="1" applyAlignment="1">
      <alignment vertical="bottom"/>
    </xf>
    <xf numFmtId="0" fontId="1" fillId="0" borderId="37" xfId="0" applyBorder="1" applyAlignment="1">
      <alignment vertical="bottom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4" fontId="5" fillId="0" borderId="34" xfId="0" applyNumberFormat="1" applyFont="1" applyBorder="1" quotePrefix="1">
      <alignment vertical="center"/>
    </xf>
    <xf numFmtId="0" fontId="4" fillId="0" borderId="34" xfId="0" applyFont="1" applyBorder="1">
      <alignment vertical="center"/>
    </xf>
    <xf numFmtId="0" fontId="1" fillId="0" borderId="34" xfId="0" applyBorder="1" applyAlignment="1">
      <alignment vertical="bottom"/>
    </xf>
    <xf numFmtId="0" fontId="3" fillId="0" borderId="0" xfId="0" applyFont="1" applyBorder="1" applyAlignment="1">
      <alignment horizontal="left" vertical="bottom"/>
    </xf>
    <xf numFmtId="0" fontId="1" fillId="0" borderId="34" xfId="0" applyBorder="1" applyAlignment="1" quotePrefix="1">
      <alignment vertical="bottom"/>
    </xf>
    <xf numFmtId="0" fontId="5" fillId="0" borderId="34" xfId="0" applyFont="1" applyBorder="1">
      <alignment vertical="center"/>
    </xf>
    <xf numFmtId="0" fontId="4" fillId="0" borderId="0" xfId="0" applyFont="1" applyBorder="1" applyAlignment="1">
      <alignment horizontal="left" vertical="bottom"/>
    </xf>
    <xf numFmtId="0" fontId="1" fillId="0" borderId="12" xfId="0" applyBorder="1" applyAlignment="1">
      <alignment horizontal="center" vertical="center"/>
    </xf>
    <xf numFmtId="0" fontId="1" fillId="0" borderId="14" xfId="0" applyBorder="1" applyAlignment="1">
      <alignment horizontal="center" vertical="center"/>
    </xf>
    <xf numFmtId="0" fontId="1" fillId="0" borderId="14" xfId="0" applyBorder="1" applyAlignment="1">
      <alignment horizontal="center" vertical="center"/>
    </xf>
    <xf numFmtId="0" fontId="1" fillId="0" borderId="18" xfId="0" applyBorder="1" applyAlignment="1">
      <alignment horizontal="center" vertical="center"/>
    </xf>
    <xf numFmtId="0" fontId="1" fillId="0" borderId="18" xfId="0" applyBorder="1" applyAlignment="1">
      <alignment horizontal="center" vertical="center"/>
    </xf>
    <xf numFmtId="0" fontId="1" fillId="0" borderId="22" xfId="0" applyBorder="1" applyAlignment="1">
      <alignment horizontal="center" vertical="center"/>
    </xf>
    <xf numFmtId="0" fontId="1" fillId="0" borderId="22" xfId="0" applyBorder="1" applyAlignment="1">
      <alignment horizontal="center" vertical="center"/>
    </xf>
    <xf numFmtId="0" fontId="1" fillId="0" borderId="23" xfId="0" applyBorder="1" applyAlignment="1">
      <alignment horizontal="center" vertical="center"/>
    </xf>
    <xf numFmtId="0" fontId="1" fillId="0" borderId="24" xfId="0" applyBorder="1" applyAlignment="1">
      <alignment horizontal="center" vertical="center"/>
    </xf>
    <xf numFmtId="0" fontId="6" fillId="0" borderId="15" xfId="0" applyFont="1" applyBorder="1" applyAlignment="1">
      <alignment horizontal="left" vertical="bottom"/>
    </xf>
    <xf numFmtId="0" fontId="6" fillId="0" borderId="17" xfId="0" applyFont="1" applyBorder="1" applyAlignment="1">
      <alignment horizontal="left" vertical="bottom"/>
    </xf>
    <xf numFmtId="0" fontId="1" fillId="0" borderId="19" xfId="0" applyFill="1" applyBorder="1" applyAlignment="1">
      <alignment horizontal="center" vertical="center"/>
    </xf>
    <xf numFmtId="0" fontId="6" fillId="0" borderId="0" xfId="0" applyFont="1" applyAlignment="1">
      <alignment horizontal="center" vertical="bottom"/>
    </xf>
    <xf numFmtId="0" fontId="6" fillId="0" borderId="0" xfId="0" applyFont="1" applyAlignment="1">
      <alignment horizontal="center" vertical="bottom"/>
    </xf>
    <xf numFmtId="0" fontId="7" fillId="0" borderId="0" xfId="0" applyFont="1" applyAlignment="1">
      <alignment horizontal="right" vertical="bottom"/>
    </xf>
    <xf numFmtId="0" fontId="7" fillId="0" borderId="0" xfId="0" applyFont="1" applyAlignment="1">
      <alignment horizontal="left" vertical="bottom"/>
    </xf>
    <xf numFmtId="0" fontId="1" fillId="0" borderId="0" xfId="0" applyAlignment="1">
      <alignment horizontal="right" vertical="bottom"/>
    </xf>
    <xf numFmtId="0" fontId="1" fillId="0" borderId="0" xfId="0" applyAlignment="1">
      <alignment horizontal="left" vertical="bottom"/>
    </xf>
    <xf numFmtId="0" fontId="1" fillId="0" borderId="0" xfId="0" applyAlignment="1">
      <alignment horizontal="center" vertical="bottom"/>
    </xf>
    <xf numFmtId="0" fontId="6" fillId="0" borderId="0" xfId="0" applyFont="1" applyAlignment="1">
      <alignment horizontal="right" vertical="bottom"/>
    </xf>
    <xf numFmtId="0" fontId="1" fillId="0" borderId="0" xfId="0" applyAlignment="1">
      <alignment horizontal="right" vertical="bottom"/>
    </xf>
    <xf numFmtId="0" fontId="1" fillId="0" borderId="0" xfId="0" applyAlignment="1">
      <alignment horizontal="left" vertical="bottom"/>
    </xf>
    <xf numFmtId="0" fontId="6" fillId="0" borderId="0" xfId="0" applyFont="1" applyAlignment="1">
      <alignment horizontal="left" vertical="bottom"/>
    </xf>
    <xf numFmtId="0" fontId="1" fillId="0" borderId="0" xfId="0" applyFont="1" applyAlignment="1">
      <alignment horizontal="left" vertical="bottom"/>
    </xf>
    <xf numFmtId="0" fontId="8" fillId="0" borderId="0" xfId="0" applyFont="1" applyAlignment="1">
      <alignment horizontal="left" vertical="bottom"/>
    </xf>
    <xf numFmtId="0" fontId="8" fillId="0" borderId="0" xfId="0" applyFont="1" applyAlignment="1">
      <alignment horizontal="right" vertical="bottom"/>
    </xf>
    <xf numFmtId="0" fontId="6" fillId="0" borderId="0" xfId="0" applyFont="1" applyAlignment="1">
      <alignment vertical="bottom"/>
    </xf>
    <xf numFmtId="0" fontId="1" fillId="0" borderId="0" xfId="0" applyAlignment="1">
      <alignment vertical="bottom"/>
    </xf>
    <xf numFmtId="0" fontId="1" fillId="0" borderId="0" xfId="0" applyAlignment="1">
      <alignment horizontal="right" vertical="bottom"/>
    </xf>
    <xf numFmtId="0" fontId="9" fillId="0" borderId="0" xfId="0" applyFont="1" applyAlignment="1">
      <alignment vertical="bottom"/>
    </xf>
    <xf numFmtId="0" fontId="1" fillId="0" borderId="0" xfId="0" applyAlignment="1">
      <alignment horizontal="left" vertical="bottom"/>
    </xf>
    <xf numFmtId="0" fontId="1" fillId="0" borderId="0" xfId="0" applyAlignment="1">
      <alignment horizontal="center" vertical="bottom"/>
    </xf>
    <xf numFmtId="0" fontId="1" fillId="0" borderId="0" xfId="0" applyAlignment="1">
      <alignment horizontal="center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9"/>
  <sheetViews>
    <sheetView workbookViewId="0">
      <selection activeCell="G16" sqref="G16"/>
    </sheetView>
  </sheetViews>
  <sheetFormatPr defaultRowHeight="15.0" defaultColWidth="10"/>
  <cols>
    <col min="2" max="2" customWidth="1" bestFit="1" width="13.7109375" style="0"/>
    <col min="3" max="3" customWidth="1" bestFit="1" width="14.0" style="0"/>
    <col min="4" max="6" customWidth="1" bestFit="1" width="11.7109375" style="0"/>
    <col min="7" max="7" customWidth="1" bestFit="1" width="11.285156" style="0"/>
    <col min="10" max="10" customWidth="1" bestFit="1" width="11.7109375" style="0"/>
    <col min="11" max="11" customWidth="1" bestFit="1" width="12.0" style="0"/>
    <col min="12" max="12" customWidth="1" bestFit="1" width="11.7109375" style="0"/>
    <col min="13" max="13" customWidth="1" bestFit="1" width="10.855469" style="0"/>
    <col min="16" max="16" customWidth="1" bestFit="1" width="20.710938" style="0"/>
  </cols>
  <sheetData>
    <row r="1" spans="8:8" ht="15.75"/>
    <row r="2" spans="8:8" ht="15.75">
      <c r="A2" s="1" t="s">
        <v>0</v>
      </c>
      <c r="B2" s="2" t="s">
        <v>1</v>
      </c>
      <c r="C2" s="2" t="s">
        <v>2</v>
      </c>
      <c r="D2" s="3" t="s">
        <v>14</v>
      </c>
      <c r="E2" s="4"/>
      <c r="F2" s="4"/>
      <c r="G2" s="4"/>
      <c r="H2" s="4"/>
      <c r="I2" s="5"/>
      <c r="J2" s="3" t="s">
        <v>15</v>
      </c>
      <c r="K2" s="4"/>
      <c r="L2" s="4"/>
      <c r="M2" s="4"/>
      <c r="N2" s="4"/>
      <c r="O2" s="6"/>
      <c r="P2" s="7" t="s">
        <v>13</v>
      </c>
      <c r="Q2" s="8"/>
    </row>
    <row r="3" spans="8:8" ht="15.75">
      <c r="A3" s="9"/>
      <c r="B3" s="10"/>
      <c r="C3" s="10"/>
      <c r="D3" s="11" t="s">
        <v>3</v>
      </c>
      <c r="E3" s="12" t="s">
        <v>5</v>
      </c>
      <c r="F3" s="12" t="s">
        <v>9</v>
      </c>
      <c r="G3" s="12" t="s">
        <v>6</v>
      </c>
      <c r="H3" s="12" t="s">
        <v>7</v>
      </c>
      <c r="I3" s="12" t="s">
        <v>8</v>
      </c>
      <c r="J3" s="11" t="s">
        <v>4</v>
      </c>
      <c r="K3" s="11" t="s">
        <v>10</v>
      </c>
      <c r="L3" s="11" t="s">
        <v>11</v>
      </c>
      <c r="M3" s="12" t="s">
        <v>12</v>
      </c>
      <c r="N3" s="13" t="s">
        <v>7</v>
      </c>
      <c r="O3" s="12" t="s">
        <v>8</v>
      </c>
      <c r="P3" s="14"/>
      <c r="Q3" s="8"/>
    </row>
    <row r="4" spans="8:8">
      <c r="A4" s="15" t="s">
        <v>16</v>
      </c>
      <c r="B4" s="1">
        <v>15.93</v>
      </c>
      <c r="C4" s="16">
        <v>1.0</v>
      </c>
      <c r="D4" s="16">
        <v>14.69</v>
      </c>
      <c r="E4" s="16">
        <v>15.6</v>
      </c>
      <c r="F4" s="16">
        <v>15.1</v>
      </c>
      <c r="G4" s="17">
        <f>AVERAGE(D4:F6)</f>
        <v>15.132222222222222</v>
      </c>
      <c r="H4" s="18">
        <v>0.4327752816929873</v>
      </c>
      <c r="I4" s="19">
        <v>2.8599585397142855</v>
      </c>
      <c r="J4" s="16">
        <v>18.18</v>
      </c>
      <c r="K4" s="16">
        <v>18.01</v>
      </c>
      <c r="L4" s="16">
        <v>18.2</v>
      </c>
      <c r="M4" s="18">
        <f t="shared" si="0" ref="M4">AVERAGE(J4:L6)</f>
        <v>18.177777777777777</v>
      </c>
      <c r="N4" s="17">
        <v>0.17774826143859793</v>
      </c>
      <c r="O4" s="18">
        <v>0.9778327340754165</v>
      </c>
      <c r="P4" s="18">
        <f>M4-(G4-G16)</f>
        <v>18.888333333333357</v>
      </c>
      <c r="Q4" s="8"/>
    </row>
    <row r="5" spans="8:8">
      <c r="A5" s="20"/>
      <c r="B5" s="21"/>
      <c r="C5" s="22">
        <v>2.0</v>
      </c>
      <c r="D5" s="22">
        <v>14.37</v>
      </c>
      <c r="E5" s="22">
        <v>14.92</v>
      </c>
      <c r="F5" s="22">
        <v>15.7</v>
      </c>
      <c r="G5" s="23"/>
      <c r="H5" s="24"/>
      <c r="I5" s="25"/>
      <c r="J5" s="22">
        <v>18.12</v>
      </c>
      <c r="K5" s="22">
        <v>18.31</v>
      </c>
      <c r="L5" s="22">
        <v>18.23</v>
      </c>
      <c r="M5" s="24"/>
      <c r="N5" s="23"/>
      <c r="O5" s="24"/>
      <c r="P5" s="24"/>
      <c r="Q5" s="8"/>
    </row>
    <row r="6" spans="8:8" ht="15.75">
      <c r="A6" s="26"/>
      <c r="B6" s="9"/>
      <c r="C6" s="27">
        <v>3.0</v>
      </c>
      <c r="D6" s="27">
        <v>15.05</v>
      </c>
      <c r="E6" s="27">
        <v>15.33</v>
      </c>
      <c r="F6" s="27">
        <v>15.43</v>
      </c>
      <c r="G6" s="28"/>
      <c r="H6" s="29"/>
      <c r="I6" s="30"/>
      <c r="J6" s="27">
        <v>17.82</v>
      </c>
      <c r="K6" s="27">
        <v>18.33</v>
      </c>
      <c r="L6" s="27">
        <v>18.4</v>
      </c>
      <c r="M6" s="29"/>
      <c r="N6" s="28"/>
      <c r="O6" s="29"/>
      <c r="P6" s="29"/>
      <c r="Q6" s="8"/>
    </row>
    <row r="7" spans="8:8">
      <c r="A7" s="31" t="s">
        <v>17</v>
      </c>
      <c r="B7" s="1">
        <v>31.25</v>
      </c>
      <c r="C7" s="16">
        <v>1.0</v>
      </c>
      <c r="D7" s="16">
        <v>15.64</v>
      </c>
      <c r="E7" s="16">
        <v>15.6</v>
      </c>
      <c r="F7" s="16">
        <v>15.46</v>
      </c>
      <c r="G7" s="17">
        <f>AVERAGE(D7:F9)</f>
        <v>15.215555555555556</v>
      </c>
      <c r="H7" s="18">
        <v>0.36582479109237237</v>
      </c>
      <c r="I7" s="19">
        <v>2.404281524632212</v>
      </c>
      <c r="J7" s="16">
        <v>18.94</v>
      </c>
      <c r="K7" s="16">
        <v>18.76</v>
      </c>
      <c r="L7" s="16">
        <v>19.43</v>
      </c>
      <c r="M7" s="18">
        <f t="shared" si="1" ref="M7">AVERAGE(J7:L9)</f>
        <v>18.613333333333333</v>
      </c>
      <c r="N7" s="17">
        <v>0.4750789408087885</v>
      </c>
      <c r="O7" s="18">
        <v>2.5523582063509407</v>
      </c>
      <c r="P7" s="18">
        <f>M7-(G7-G16)</f>
        <v>19.240555555555524</v>
      </c>
      <c r="Q7" s="8"/>
    </row>
    <row r="8" spans="8:8">
      <c r="A8" s="20"/>
      <c r="B8" s="21"/>
      <c r="C8" s="22">
        <v>2.0</v>
      </c>
      <c r="D8" s="22">
        <v>15.18</v>
      </c>
      <c r="E8" s="22">
        <v>15.19</v>
      </c>
      <c r="F8" s="22">
        <v>15.01</v>
      </c>
      <c r="G8" s="23"/>
      <c r="H8" s="24"/>
      <c r="I8" s="25"/>
      <c r="J8" s="22">
        <v>18.25</v>
      </c>
      <c r="K8" s="22">
        <v>17.81</v>
      </c>
      <c r="L8" s="22">
        <v>18.82</v>
      </c>
      <c r="M8" s="24"/>
      <c r="N8" s="23"/>
      <c r="O8" s="24"/>
      <c r="P8" s="24"/>
      <c r="Q8" s="8"/>
    </row>
    <row r="9" spans="8:8" ht="15.75">
      <c r="A9" s="32"/>
      <c r="B9" s="9"/>
      <c r="C9" s="27">
        <v>3.0</v>
      </c>
      <c r="D9" s="27">
        <v>14.95</v>
      </c>
      <c r="E9" s="27">
        <v>14.49</v>
      </c>
      <c r="F9" s="27">
        <v>15.42</v>
      </c>
      <c r="G9" s="28"/>
      <c r="H9" s="29"/>
      <c r="I9" s="30"/>
      <c r="J9" s="27">
        <v>18.25</v>
      </c>
      <c r="K9" s="27">
        <v>18.46</v>
      </c>
      <c r="L9" s="27">
        <v>18.8</v>
      </c>
      <c r="M9" s="29"/>
      <c r="N9" s="28"/>
      <c r="O9" s="29"/>
      <c r="P9" s="29"/>
      <c r="Q9" s="8"/>
    </row>
    <row r="10" spans="8:8">
      <c r="A10" s="15" t="s">
        <v>19</v>
      </c>
      <c r="B10" s="1">
        <v>125.0</v>
      </c>
      <c r="C10" s="16">
        <v>1.0</v>
      </c>
      <c r="D10" s="16">
        <v>16.59</v>
      </c>
      <c r="E10" s="16">
        <v>17.93</v>
      </c>
      <c r="F10" s="16">
        <v>17.36</v>
      </c>
      <c r="G10" s="17">
        <f>AVERAGE(D10:F12)</f>
        <v>16.841111111111115</v>
      </c>
      <c r="H10" s="18">
        <v>0.8993392636325357</v>
      </c>
      <c r="I10" s="19">
        <v>5.340142094539037</v>
      </c>
      <c r="J10" s="16">
        <v>19.79</v>
      </c>
      <c r="K10" s="16">
        <v>19.92</v>
      </c>
      <c r="L10" s="16">
        <v>18.1</v>
      </c>
      <c r="M10" s="18">
        <f t="shared" si="2" ref="M10">AVERAGE(J10:L12)</f>
        <v>19.06222222222222</v>
      </c>
      <c r="N10" s="17">
        <v>0.8715041276118234</v>
      </c>
      <c r="O10" s="18">
        <v>4.571891553104693</v>
      </c>
      <c r="P10" s="19">
        <f>M10-(G10-G16)</f>
        <v>18.063888888888865</v>
      </c>
      <c r="Q10" s="8"/>
    </row>
    <row r="11" spans="8:8">
      <c r="A11" s="20"/>
      <c r="B11" s="21"/>
      <c r="C11" s="22">
        <v>2.0</v>
      </c>
      <c r="D11" s="22">
        <v>15.5</v>
      </c>
      <c r="E11" s="22">
        <v>17.3</v>
      </c>
      <c r="F11" s="22">
        <v>18.1</v>
      </c>
      <c r="G11" s="23"/>
      <c r="H11" s="24"/>
      <c r="I11" s="25"/>
      <c r="J11" s="22">
        <v>19.94</v>
      </c>
      <c r="K11" s="22">
        <v>18.38</v>
      </c>
      <c r="L11" s="22">
        <v>18.52</v>
      </c>
      <c r="M11" s="24"/>
      <c r="N11" s="23"/>
      <c r="O11" s="24"/>
      <c r="P11" s="25"/>
      <c r="Q11" s="8"/>
    </row>
    <row r="12" spans="8:8" ht="15.75">
      <c r="A12" s="32"/>
      <c r="B12" s="9"/>
      <c r="C12" s="27">
        <v>3.0</v>
      </c>
      <c r="D12" s="27">
        <v>16.21</v>
      </c>
      <c r="E12" s="27">
        <v>15.87</v>
      </c>
      <c r="F12" s="27">
        <v>16.71</v>
      </c>
      <c r="G12" s="28"/>
      <c r="H12" s="29"/>
      <c r="I12" s="30"/>
      <c r="J12" s="27">
        <v>20.1</v>
      </c>
      <c r="K12" s="27">
        <v>17.95</v>
      </c>
      <c r="L12" s="27">
        <v>18.86</v>
      </c>
      <c r="M12" s="29"/>
      <c r="N12" s="28"/>
      <c r="O12" s="29"/>
      <c r="P12" s="30"/>
      <c r="Q12" s="8"/>
    </row>
    <row r="13" spans="8:8">
      <c r="A13" s="15" t="s">
        <v>18</v>
      </c>
      <c r="B13" s="1">
        <v>250.0</v>
      </c>
      <c r="C13" s="16">
        <v>1.0</v>
      </c>
      <c r="D13" s="16">
        <v>18.15</v>
      </c>
      <c r="E13" s="16">
        <v>14.59</v>
      </c>
      <c r="F13" s="16">
        <v>16.46</v>
      </c>
      <c r="G13" s="17">
        <f>AVERAGE(D13:F15)</f>
        <v>16.182222222222222</v>
      </c>
      <c r="H13" s="18">
        <v>1.0547366706645047</v>
      </c>
      <c r="I13" s="19">
        <v>6.5178728618377795</v>
      </c>
      <c r="J13" s="16">
        <v>19.1</v>
      </c>
      <c r="K13" s="16">
        <v>17.56</v>
      </c>
      <c r="L13" s="16">
        <v>17.27</v>
      </c>
      <c r="M13" s="18">
        <f t="shared" si="3" ref="M13">AVERAGE(J13:L15)</f>
        <v>18.480000000000004</v>
      </c>
      <c r="N13" s="17">
        <v>0.7862569554541319</v>
      </c>
      <c r="O13" s="18">
        <v>4.2546372048383745</v>
      </c>
      <c r="P13" s="19">
        <f>M13-(G13-G16)</f>
        <v>18.140555555555558</v>
      </c>
      <c r="Q13" s="8"/>
    </row>
    <row r="14" spans="8:8">
      <c r="A14" s="20"/>
      <c r="B14" s="21"/>
      <c r="C14" s="22">
        <v>2.0</v>
      </c>
      <c r="D14" s="22">
        <v>16.19</v>
      </c>
      <c r="E14" s="22">
        <v>15.7</v>
      </c>
      <c r="F14" s="22">
        <v>16.59</v>
      </c>
      <c r="G14" s="23"/>
      <c r="H14" s="24"/>
      <c r="I14" s="25"/>
      <c r="J14" s="22">
        <v>19.57</v>
      </c>
      <c r="K14" s="22">
        <v>18.73</v>
      </c>
      <c r="L14" s="22">
        <v>17.89</v>
      </c>
      <c r="M14" s="24"/>
      <c r="N14" s="23"/>
      <c r="O14" s="24"/>
      <c r="P14" s="25"/>
      <c r="Q14" s="8"/>
    </row>
    <row r="15" spans="8:8" ht="15.75">
      <c r="A15" s="26"/>
      <c r="B15" s="9"/>
      <c r="C15" s="27">
        <v>3.0</v>
      </c>
      <c r="D15" s="27">
        <v>15.97</v>
      </c>
      <c r="E15" s="27">
        <v>15.02</v>
      </c>
      <c r="F15" s="27">
        <v>16.97</v>
      </c>
      <c r="G15" s="28"/>
      <c r="H15" s="29"/>
      <c r="I15" s="30"/>
      <c r="J15" s="27">
        <v>19.0</v>
      </c>
      <c r="K15" s="27">
        <v>19.02</v>
      </c>
      <c r="L15" s="27">
        <v>18.18</v>
      </c>
      <c r="M15" s="29"/>
      <c r="N15" s="28"/>
      <c r="O15" s="29"/>
      <c r="P15" s="30"/>
      <c r="Q15" s="8"/>
    </row>
    <row r="16" spans="8:8" ht="15.75">
      <c r="A16" s="33"/>
      <c r="B16" s="34"/>
      <c r="C16" s="34"/>
      <c r="D16" s="34"/>
      <c r="E16" s="34"/>
      <c r="F16" s="35"/>
      <c r="G16" s="36">
        <f>AVERAGE(G4:G15)</f>
        <v>15.84277777777778</v>
      </c>
      <c r="H16" s="23"/>
      <c r="I16" s="23"/>
      <c r="J16" s="23"/>
      <c r="K16" s="23"/>
      <c r="L16" s="23"/>
      <c r="M16" s="23"/>
      <c r="N16" s="23"/>
      <c r="O16" s="23"/>
      <c r="P16" s="25"/>
      <c r="Q16" s="37"/>
      <c r="R16" s="38"/>
    </row>
    <row r="17" spans="8:8" ht="15.75">
      <c r="A17" s="2" t="s">
        <v>21</v>
      </c>
      <c r="B17" s="2" t="s">
        <v>20</v>
      </c>
      <c r="C17" s="11">
        <v>1.0</v>
      </c>
      <c r="D17" s="12">
        <v>14.9</v>
      </c>
      <c r="E17" s="12">
        <v>14.89</v>
      </c>
      <c r="F17" s="39">
        <v>15.07</v>
      </c>
      <c r="G17" s="17">
        <f>AVERAGE(D17:F19)</f>
        <v>15.290000000000001</v>
      </c>
      <c r="H17" s="18">
        <v>0.37529988009590415</v>
      </c>
      <c r="I17" s="18">
        <v>2.4545446703460048</v>
      </c>
      <c r="J17" s="12">
        <v>18.88</v>
      </c>
      <c r="K17" s="12">
        <v>19.19</v>
      </c>
      <c r="L17" s="39">
        <v>19.19</v>
      </c>
      <c r="M17" s="18">
        <f>AVERAGE(J17:L19)</f>
        <v>18.941111111111113</v>
      </c>
      <c r="N17" s="18">
        <v>0.3854362607631919</v>
      </c>
      <c r="O17" s="18">
        <v>2.0349189575108384</v>
      </c>
      <c r="P17" s="19">
        <f>M17-(G17-G16)</f>
        <v>19.49388888888888</v>
      </c>
      <c r="Q17" s="8"/>
    </row>
    <row r="18" spans="8:8" ht="15.75">
      <c r="A18" s="40"/>
      <c r="B18" s="40"/>
      <c r="C18" s="11">
        <v>2.0</v>
      </c>
      <c r="D18" s="12">
        <v>15.02</v>
      </c>
      <c r="E18" s="12">
        <v>15.4</v>
      </c>
      <c r="F18" s="39">
        <v>15.71</v>
      </c>
      <c r="G18" s="23"/>
      <c r="H18" s="24"/>
      <c r="I18" s="24"/>
      <c r="J18" s="12">
        <v>19.63</v>
      </c>
      <c r="K18" s="12">
        <v>19.0</v>
      </c>
      <c r="L18" s="39">
        <v>19.0</v>
      </c>
      <c r="M18" s="24"/>
      <c r="N18" s="24"/>
      <c r="O18" s="24"/>
      <c r="P18" s="25"/>
      <c r="Q18" s="8"/>
    </row>
    <row r="19" spans="8:8" ht="15.75">
      <c r="A19" s="10"/>
      <c r="B19" s="10"/>
      <c r="C19" s="41">
        <v>3.0</v>
      </c>
      <c r="D19" s="42">
        <v>15.31</v>
      </c>
      <c r="E19" s="43">
        <v>15.31</v>
      </c>
      <c r="F19" s="44">
        <v>16.0</v>
      </c>
      <c r="G19" s="28"/>
      <c r="H19" s="29"/>
      <c r="I19" s="29"/>
      <c r="J19" s="42">
        <v>18.32</v>
      </c>
      <c r="K19" s="45">
        <v>18.63</v>
      </c>
      <c r="L19" s="46">
        <v>18.63</v>
      </c>
      <c r="M19" s="29"/>
      <c r="N19" s="29"/>
      <c r="O19" s="29"/>
      <c r="P19" s="30"/>
      <c r="Q19" s="8"/>
    </row>
  </sheetData>
  <mergeCells count="53">
    <mergeCell ref="P2:P3"/>
    <mergeCell ref="B4:B6"/>
    <mergeCell ref="A2:A3"/>
    <mergeCell ref="P4:P6"/>
    <mergeCell ref="O4:O6"/>
    <mergeCell ref="G4:G6"/>
    <mergeCell ref="N17:N19"/>
    <mergeCell ref="G17:G19"/>
    <mergeCell ref="H17:H19"/>
    <mergeCell ref="I17:I19"/>
    <mergeCell ref="H4:H6"/>
    <mergeCell ref="M13:M15"/>
    <mergeCell ref="O10:O12"/>
    <mergeCell ref="G10:G12"/>
    <mergeCell ref="B2:B3"/>
    <mergeCell ref="H7:H9"/>
    <mergeCell ref="I4:I6"/>
    <mergeCell ref="H13:H15"/>
    <mergeCell ref="B7:B9"/>
    <mergeCell ref="A16:F16"/>
    <mergeCell ref="B17:B19"/>
    <mergeCell ref="G7:G9"/>
    <mergeCell ref="P13:P15"/>
    <mergeCell ref="P10:P12"/>
    <mergeCell ref="I13:I15"/>
    <mergeCell ref="I10:I12"/>
    <mergeCell ref="N13:N15"/>
    <mergeCell ref="O13:O15"/>
    <mergeCell ref="P7:P9"/>
    <mergeCell ref="P17:P19"/>
    <mergeCell ref="H10:H12"/>
    <mergeCell ref="M7:M9"/>
    <mergeCell ref="O17:O19"/>
    <mergeCell ref="I7:I9"/>
    <mergeCell ref="M4:M6"/>
    <mergeCell ref="M17:M19"/>
    <mergeCell ref="M10:M12"/>
    <mergeCell ref="N7:N9"/>
    <mergeCell ref="N10:N12"/>
    <mergeCell ref="N4:N6"/>
    <mergeCell ref="C2:C3"/>
    <mergeCell ref="A4:A6"/>
    <mergeCell ref="A17:A19"/>
    <mergeCell ref="H16:P16"/>
    <mergeCell ref="A10:A12"/>
    <mergeCell ref="A13:A15"/>
    <mergeCell ref="B10:B12"/>
    <mergeCell ref="B13:B15"/>
    <mergeCell ref="G13:G15"/>
    <mergeCell ref="D2:I2"/>
    <mergeCell ref="O7:O9"/>
    <mergeCell ref="A7:A9"/>
    <mergeCell ref="J2:O2"/>
  </mergeCells>
  <pageMargins left="0.7" right="0.7" top="0.75" bottom="0.75" header="0.3" footer="0.3"/>
  <pageSetup paperSize="9" scale="42"/>
</worksheet>
</file>

<file path=xl/worksheets/sheet2.xml><?xml version="1.0" encoding="utf-8"?>
<worksheet xmlns:r="http://schemas.openxmlformats.org/officeDocument/2006/relationships" xmlns="http://schemas.openxmlformats.org/spreadsheetml/2006/main">
  <dimension ref="C1:S56"/>
  <sheetViews>
    <sheetView tabSelected="1" workbookViewId="0" zoomScale="86">
      <selection activeCell="F8" sqref="F8"/>
    </sheetView>
  </sheetViews>
  <sheetFormatPr defaultRowHeight="15.0" defaultColWidth="10"/>
  <cols>
    <col min="1" max="1" customWidth="1" width="2.7109375" style="0"/>
    <col min="2" max="2" hidden="1" customWidth="1" width="0.0" style="0"/>
    <col min="3" max="3" customWidth="1" width="10.855469" style="0"/>
    <col min="4" max="4" customWidth="1" width="15.855469" style="0"/>
    <col min="5" max="5" customWidth="1" width="16.0" style="0"/>
    <col min="6" max="6" customWidth="1" bestFit="1" width="13.285156" style="0"/>
    <col min="7" max="7" customWidth="1" width="11.140625" style="0"/>
    <col min="8" max="8" customWidth="1" width="10.425781" style="0"/>
    <col min="9" max="9" customWidth="1" width="10.7109375" style="0"/>
    <col min="10" max="10" customWidth="1" width="7.4257812" style="0"/>
    <col min="11" max="11" customWidth="1" width="10.140625" style="0"/>
    <col min="12" max="12" customWidth="1" width="10.425781" style="0"/>
    <col min="13" max="13" customWidth="1" width="10.5703125" style="0"/>
    <col min="14" max="14" customWidth="1" width="10.425781" style="0"/>
    <col min="15" max="15" customWidth="1" width="9.5703125" style="0"/>
    <col min="16" max="16" customWidth="1" width="7.0" style="0"/>
    <col min="17" max="17" customWidth="1" width="7.2851562" style="0"/>
    <col min="18" max="18" customWidth="1" bestFit="1" width="23.710938" style="0"/>
    <col min="19" max="19" customWidth="1" width="3.0" style="0"/>
  </cols>
  <sheetData>
    <row r="1" spans="8:8" ht="36.75" customHeight="1">
      <c r="C1" s="47"/>
      <c r="D1" s="47"/>
      <c r="E1" s="48"/>
      <c r="F1" s="48"/>
      <c r="G1" s="48"/>
      <c r="H1" s="48"/>
      <c r="I1" s="48"/>
      <c r="J1" s="48"/>
      <c r="K1" s="48"/>
      <c r="L1" s="48"/>
      <c r="M1" s="48"/>
      <c r="N1" s="48"/>
      <c r="O1" s="49"/>
      <c r="P1" s="50" t="s">
        <v>55</v>
      </c>
      <c r="Q1" s="51"/>
      <c r="R1" s="52"/>
    </row>
    <row r="2" spans="8:8" ht="28.5">
      <c r="C2" s="47"/>
      <c r="D2" s="47"/>
      <c r="E2" s="49" t="s">
        <v>26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53" t="s">
        <v>56</v>
      </c>
      <c r="Q2" s="53"/>
      <c r="R2" s="54"/>
    </row>
    <row r="3" spans="8:8" ht="28.5">
      <c r="C3" s="47"/>
      <c r="D3" s="47"/>
      <c r="E3" s="47" t="s">
        <v>59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53" t="s">
        <v>57</v>
      </c>
      <c r="Q3" s="53"/>
      <c r="R3" s="52"/>
    </row>
    <row r="4" spans="8:8" ht="28.5"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  <c r="Q4" s="56"/>
      <c r="R4" s="56"/>
    </row>
    <row r="5" spans="8:8">
      <c r="C5" s="38"/>
      <c r="D5" s="57" t="s">
        <v>25</v>
      </c>
      <c r="F5" s="58"/>
      <c r="G5" s="58"/>
      <c r="H5" s="58"/>
      <c r="I5" s="38"/>
      <c r="J5" s="38"/>
      <c r="M5" s="59" t="s">
        <v>30</v>
      </c>
      <c r="N5" s="38"/>
      <c r="O5" s="58"/>
      <c r="P5" s="58"/>
      <c r="Q5" s="58"/>
      <c r="R5" s="38"/>
    </row>
    <row r="6" spans="8:8">
      <c r="C6" s="38"/>
      <c r="D6" s="60" t="s">
        <v>27</v>
      </c>
      <c r="E6" s="60"/>
      <c r="F6" s="61" t="s">
        <v>53</v>
      </c>
      <c r="G6" s="62"/>
      <c r="H6" s="63"/>
      <c r="I6" s="38"/>
      <c r="J6" s="38"/>
      <c r="M6" s="59" t="s">
        <v>31</v>
      </c>
      <c r="N6" s="59"/>
      <c r="O6" s="63"/>
      <c r="P6" s="63"/>
      <c r="Q6" s="63"/>
      <c r="R6" s="38"/>
    </row>
    <row r="7" spans="8:8">
      <c r="C7" s="38"/>
      <c r="D7" s="60" t="s">
        <v>28</v>
      </c>
      <c r="E7" s="60"/>
      <c r="F7" s="61" t="s">
        <v>54</v>
      </c>
      <c r="G7" s="62"/>
      <c r="H7" s="63"/>
      <c r="I7" s="38"/>
      <c r="J7" s="38"/>
      <c r="M7" s="64" t="s">
        <v>32</v>
      </c>
      <c r="N7" s="64"/>
      <c r="O7" s="65"/>
      <c r="P7" s="63"/>
      <c r="Q7" s="63"/>
      <c r="R7" s="38"/>
    </row>
    <row r="8" spans="8:8">
      <c r="C8" s="38"/>
      <c r="D8" s="60" t="s">
        <v>29</v>
      </c>
      <c r="E8" s="60"/>
      <c r="F8" s="66" t="s">
        <v>60</v>
      </c>
      <c r="G8" s="62"/>
      <c r="H8" s="63"/>
      <c r="I8" s="38"/>
      <c r="J8" s="38"/>
      <c r="M8" s="67" t="s">
        <v>33</v>
      </c>
      <c r="N8" s="67"/>
      <c r="O8" s="65"/>
      <c r="P8" s="63"/>
      <c r="Q8" s="63"/>
      <c r="R8" s="38"/>
    </row>
    <row r="9" spans="8:8" ht="15.75"/>
    <row r="10" spans="8:8" ht="15.75">
      <c r="C10" s="1" t="s">
        <v>0</v>
      </c>
      <c r="D10" s="2" t="s">
        <v>1</v>
      </c>
      <c r="E10" s="2" t="s">
        <v>2</v>
      </c>
      <c r="F10" s="3" t="s">
        <v>14</v>
      </c>
      <c r="G10" s="4"/>
      <c r="H10" s="4"/>
      <c r="I10" s="4"/>
      <c r="J10" s="4"/>
      <c r="K10" s="5"/>
      <c r="L10" s="3" t="s">
        <v>15</v>
      </c>
      <c r="M10" s="4"/>
      <c r="N10" s="4"/>
      <c r="O10" s="4"/>
      <c r="P10" s="4"/>
      <c r="Q10" s="6"/>
      <c r="R10" s="7" t="s">
        <v>13</v>
      </c>
    </row>
    <row r="11" spans="8:8" ht="15.75">
      <c r="C11" s="9"/>
      <c r="D11" s="10"/>
      <c r="E11" s="10"/>
      <c r="F11" s="11" t="s">
        <v>3</v>
      </c>
      <c r="G11" s="12" t="s">
        <v>5</v>
      </c>
      <c r="H11" s="12" t="s">
        <v>9</v>
      </c>
      <c r="I11" s="12" t="s">
        <v>6</v>
      </c>
      <c r="J11" s="12" t="s">
        <v>7</v>
      </c>
      <c r="K11" s="12" t="s">
        <v>8</v>
      </c>
      <c r="L11" s="11" t="s">
        <v>4</v>
      </c>
      <c r="M11" s="11" t="s">
        <v>10</v>
      </c>
      <c r="N11" s="11" t="s">
        <v>11</v>
      </c>
      <c r="O11" s="12" t="s">
        <v>12</v>
      </c>
      <c r="P11" s="68" t="s">
        <v>7</v>
      </c>
      <c r="Q11" s="12" t="s">
        <v>8</v>
      </c>
      <c r="R11" s="14"/>
    </row>
    <row r="12" spans="8:8">
      <c r="C12" s="15" t="s">
        <v>16</v>
      </c>
      <c r="D12" s="1">
        <v>36.86</v>
      </c>
      <c r="E12" s="69">
        <v>1.0</v>
      </c>
      <c r="F12" s="70">
        <v>15.22</v>
      </c>
      <c r="G12" s="70">
        <v>15.95</v>
      </c>
      <c r="H12" s="70">
        <v>15.44</v>
      </c>
      <c r="I12" s="17">
        <f>AVERAGE(F12:H14)</f>
        <v>15.418888888888887</v>
      </c>
      <c r="J12" s="18">
        <v>0.2974241266459581</v>
      </c>
      <c r="K12" s="19">
        <v>1.9289595300235087</v>
      </c>
      <c r="L12" s="70">
        <v>13.48</v>
      </c>
      <c r="M12" s="70">
        <v>13.21</v>
      </c>
      <c r="N12" s="70">
        <v>13.02</v>
      </c>
      <c r="O12" s="18">
        <f t="shared" si="0" ref="O12">AVERAGE(L12:N14)</f>
        <v>13.375555555555557</v>
      </c>
      <c r="P12" s="17">
        <v>0.23585541710500924</v>
      </c>
      <c r="Q12" s="18">
        <v>1.7633317444302066</v>
      </c>
      <c r="R12" s="18">
        <f>O12-(I12-I24)</f>
        <v>13.356111111111158</v>
      </c>
    </row>
    <row r="13" spans="8:8">
      <c r="C13" s="20"/>
      <c r="D13" s="21"/>
      <c r="E13" s="71">
        <v>2.0</v>
      </c>
      <c r="F13" s="72">
        <v>15.28</v>
      </c>
      <c r="G13" s="72">
        <v>15.14</v>
      </c>
      <c r="H13" s="72">
        <v>15.29</v>
      </c>
      <c r="I13" s="23"/>
      <c r="J13" s="24"/>
      <c r="K13" s="25"/>
      <c r="L13" s="72">
        <v>13.25</v>
      </c>
      <c r="M13" s="72">
        <v>13.58</v>
      </c>
      <c r="N13" s="72">
        <v>13.12</v>
      </c>
      <c r="O13" s="24"/>
      <c r="P13" s="23"/>
      <c r="Q13" s="24"/>
      <c r="R13" s="24"/>
    </row>
    <row r="14" spans="8:8" ht="15.75">
      <c r="C14" s="26"/>
      <c r="D14" s="9"/>
      <c r="E14" s="73">
        <v>3.0</v>
      </c>
      <c r="F14" s="74">
        <v>15.85</v>
      </c>
      <c r="G14" s="74">
        <v>15.13</v>
      </c>
      <c r="H14" s="74">
        <v>15.47</v>
      </c>
      <c r="I14" s="28"/>
      <c r="J14" s="29"/>
      <c r="K14" s="30"/>
      <c r="L14" s="74">
        <v>13.66</v>
      </c>
      <c r="M14" s="74">
        <v>13.65</v>
      </c>
      <c r="N14" s="74">
        <v>13.41</v>
      </c>
      <c r="O14" s="29"/>
      <c r="P14" s="28"/>
      <c r="Q14" s="29"/>
      <c r="R14" s="29"/>
    </row>
    <row r="15" spans="8:8">
      <c r="C15" s="31" t="s">
        <v>17</v>
      </c>
      <c r="D15" s="1">
        <v>46.08</v>
      </c>
      <c r="E15" s="69">
        <v>1.0</v>
      </c>
      <c r="F15" s="70">
        <v>15.42</v>
      </c>
      <c r="G15" s="70">
        <v>15.19</v>
      </c>
      <c r="H15" s="70">
        <v>15.28</v>
      </c>
      <c r="I15" s="17">
        <f>AVERAGE(F15:H17)</f>
        <v>15.465555555555556</v>
      </c>
      <c r="J15" s="18">
        <v>0.29347534441206086</v>
      </c>
      <c r="K15" s="19">
        <v>1.8976062215019383</v>
      </c>
      <c r="L15" s="70">
        <v>14.25</v>
      </c>
      <c r="M15" s="70">
        <v>14.59</v>
      </c>
      <c r="N15" s="70">
        <v>14.28</v>
      </c>
      <c r="O15" s="18">
        <f t="shared" si="1" ref="O15">AVERAGE(L15:N17)</f>
        <v>14.456666666666669</v>
      </c>
      <c r="P15" s="17">
        <v>0.2154646142641525</v>
      </c>
      <c r="Q15" s="18">
        <v>1.4904169766946216</v>
      </c>
      <c r="R15" s="18">
        <f>O15-(I15-I24)</f>
        <v>14.39055555555559</v>
      </c>
    </row>
    <row r="16" spans="8:8">
      <c r="C16" s="20"/>
      <c r="D16" s="21"/>
      <c r="E16" s="71">
        <v>2.0</v>
      </c>
      <c r="F16" s="72">
        <v>15.87</v>
      </c>
      <c r="G16" s="72">
        <v>15.82</v>
      </c>
      <c r="H16" s="72">
        <v>15.79</v>
      </c>
      <c r="I16" s="23"/>
      <c r="J16" s="24"/>
      <c r="K16" s="25"/>
      <c r="L16" s="72">
        <v>14.88</v>
      </c>
      <c r="M16" s="72">
        <v>14.52</v>
      </c>
      <c r="N16" s="72">
        <v>14.22</v>
      </c>
      <c r="O16" s="24"/>
      <c r="P16" s="23"/>
      <c r="Q16" s="24"/>
      <c r="R16" s="24"/>
    </row>
    <row r="17" spans="8:8" ht="15.75">
      <c r="C17" s="32"/>
      <c r="D17" s="9"/>
      <c r="E17" s="73">
        <v>3.0</v>
      </c>
      <c r="F17" s="74">
        <v>15.11</v>
      </c>
      <c r="G17" s="74">
        <v>15.48</v>
      </c>
      <c r="H17" s="74">
        <v>15.23</v>
      </c>
      <c r="I17" s="28"/>
      <c r="J17" s="29"/>
      <c r="K17" s="30"/>
      <c r="L17" s="74">
        <v>14.62</v>
      </c>
      <c r="M17" s="74">
        <v>14.36</v>
      </c>
      <c r="N17" s="74">
        <v>14.39</v>
      </c>
      <c r="O17" s="29"/>
      <c r="P17" s="28"/>
      <c r="Q17" s="29"/>
      <c r="R17" s="29"/>
    </row>
    <row r="18" spans="8:8">
      <c r="C18" s="15" t="s">
        <v>19</v>
      </c>
      <c r="D18" s="1">
        <v>72.0</v>
      </c>
      <c r="E18" s="69">
        <v>1.0</v>
      </c>
      <c r="F18" s="70">
        <v>15.26</v>
      </c>
      <c r="G18" s="70">
        <v>15.25</v>
      </c>
      <c r="H18" s="70">
        <v>15.22</v>
      </c>
      <c r="I18" s="17">
        <f>AVERAGE(F18:H20)</f>
        <v>15.365555555555558</v>
      </c>
      <c r="J18" s="18">
        <v>0.21772178985525972</v>
      </c>
      <c r="K18" s="19">
        <v>1.4169470740453665</v>
      </c>
      <c r="L18" s="70">
        <v>16.35</v>
      </c>
      <c r="M18" s="70">
        <v>16.21</v>
      </c>
      <c r="N18" s="70">
        <v>16.35</v>
      </c>
      <c r="O18" s="18">
        <f t="shared" si="2" ref="O18">AVERAGE(L18:N20)</f>
        <v>16.209999999999997</v>
      </c>
      <c r="P18" s="17">
        <v>0.4863383595810641</v>
      </c>
      <c r="Q18" s="18">
        <v>3.000236641462456</v>
      </c>
      <c r="R18" s="19">
        <f>O18-(I18-I24)</f>
        <v>16.24388888888889</v>
      </c>
    </row>
    <row r="19" spans="8:8">
      <c r="C19" s="20"/>
      <c r="D19" s="21"/>
      <c r="E19" s="71">
        <v>2.0</v>
      </c>
      <c r="F19" s="72">
        <v>15.08</v>
      </c>
      <c r="G19" s="72">
        <v>15.47</v>
      </c>
      <c r="H19" s="72">
        <v>15.56</v>
      </c>
      <c r="I19" s="23"/>
      <c r="J19" s="24"/>
      <c r="K19" s="25"/>
      <c r="L19" s="72">
        <v>16.28</v>
      </c>
      <c r="M19" s="72">
        <v>16.02</v>
      </c>
      <c r="N19" s="72">
        <v>16.15</v>
      </c>
      <c r="O19" s="24"/>
      <c r="P19" s="23"/>
      <c r="Q19" s="24"/>
      <c r="R19" s="25"/>
    </row>
    <row r="20" spans="8:8" ht="15.75">
      <c r="C20" s="32"/>
      <c r="D20" s="9"/>
      <c r="E20" s="73">
        <v>3.0</v>
      </c>
      <c r="F20" s="74">
        <v>15.8</v>
      </c>
      <c r="G20" s="74">
        <v>15.4</v>
      </c>
      <c r="H20" s="74">
        <v>15.25</v>
      </c>
      <c r="I20" s="28"/>
      <c r="J20" s="29"/>
      <c r="K20" s="30"/>
      <c r="L20" s="74">
        <v>15.09</v>
      </c>
      <c r="M20" s="74">
        <v>16.85</v>
      </c>
      <c r="N20" s="74">
        <v>16.59</v>
      </c>
      <c r="O20" s="29"/>
      <c r="P20" s="28"/>
      <c r="Q20" s="29"/>
      <c r="R20" s="30"/>
    </row>
    <row r="21" spans="8:8">
      <c r="C21" s="15" t="s">
        <v>18</v>
      </c>
      <c r="D21" s="1">
        <v>90.0</v>
      </c>
      <c r="E21" s="69">
        <v>1.0</v>
      </c>
      <c r="F21" s="70">
        <v>15.32</v>
      </c>
      <c r="G21" s="70">
        <v>15.28</v>
      </c>
      <c r="H21" s="70">
        <v>15.02</v>
      </c>
      <c r="I21" s="17">
        <f>AVERAGE(F21:H23)</f>
        <v>15.347777777777777</v>
      </c>
      <c r="J21" s="18">
        <v>0.2952870543123155</v>
      </c>
      <c r="K21" s="19">
        <v>1.923972698769883</v>
      </c>
      <c r="L21" s="70">
        <v>16.36</v>
      </c>
      <c r="M21" s="70">
        <v>16.52</v>
      </c>
      <c r="N21" s="70">
        <v>16.77</v>
      </c>
      <c r="O21" s="18">
        <f t="shared" si="3" ref="O21">AVERAGE(L21:N23)</f>
        <v>16.488888888888887</v>
      </c>
      <c r="P21" s="17">
        <v>0.19713221733423295</v>
      </c>
      <c r="Q21" s="18">
        <v>1.1955457924582862</v>
      </c>
      <c r="R21" s="19">
        <f>O21-(I21-I24)</f>
        <v>16.540555555555567</v>
      </c>
    </row>
    <row r="22" spans="8:8">
      <c r="C22" s="20"/>
      <c r="D22" s="21"/>
      <c r="E22" s="71">
        <v>2.0</v>
      </c>
      <c r="F22" s="72">
        <v>15.39</v>
      </c>
      <c r="G22" s="72">
        <v>15.33</v>
      </c>
      <c r="H22" s="72">
        <v>15.09</v>
      </c>
      <c r="I22" s="23"/>
      <c r="J22" s="24"/>
      <c r="K22" s="25"/>
      <c r="L22" s="72">
        <v>16.44</v>
      </c>
      <c r="M22" s="72">
        <v>16.63</v>
      </c>
      <c r="N22" s="72">
        <v>16.64</v>
      </c>
      <c r="O22" s="24"/>
      <c r="P22" s="23"/>
      <c r="Q22" s="24"/>
      <c r="R22" s="25"/>
    </row>
    <row r="23" spans="8:8" ht="15.75">
      <c r="C23" s="26"/>
      <c r="D23" s="9"/>
      <c r="E23" s="73">
        <v>3.0</v>
      </c>
      <c r="F23" s="74">
        <v>15.78</v>
      </c>
      <c r="G23" s="74">
        <v>15.85</v>
      </c>
      <c r="H23" s="74">
        <v>15.07</v>
      </c>
      <c r="I23" s="28"/>
      <c r="J23" s="29"/>
      <c r="K23" s="30"/>
      <c r="L23" s="74">
        <v>16.08</v>
      </c>
      <c r="M23" s="74">
        <v>16.45</v>
      </c>
      <c r="N23" s="74">
        <v>16.51</v>
      </c>
      <c r="O23" s="29"/>
      <c r="P23" s="28"/>
      <c r="Q23" s="29"/>
      <c r="R23" s="30"/>
    </row>
    <row r="24" spans="8:8" ht="15.75">
      <c r="C24" s="33"/>
      <c r="D24" s="34"/>
      <c r="E24" s="34"/>
      <c r="F24" s="34"/>
      <c r="G24" s="34"/>
      <c r="H24" s="35"/>
      <c r="I24" s="36">
        <f>AVERAGE(I12:I23)</f>
        <v>15.399444444444445</v>
      </c>
      <c r="J24" s="23"/>
      <c r="K24" s="23"/>
      <c r="L24" s="23"/>
      <c r="M24" s="23"/>
      <c r="N24" s="23"/>
      <c r="O24" s="23"/>
      <c r="P24" s="23"/>
      <c r="Q24" s="23"/>
      <c r="R24" s="25"/>
    </row>
    <row r="25" spans="8:8" ht="15.75">
      <c r="C25" s="2" t="s">
        <v>21</v>
      </c>
      <c r="D25" s="2" t="s">
        <v>20</v>
      </c>
      <c r="E25" s="11">
        <v>1.0</v>
      </c>
      <c r="F25" s="12">
        <v>15.49</v>
      </c>
      <c r="G25" s="12">
        <v>15.68</v>
      </c>
      <c r="H25" s="39">
        <v>15.85</v>
      </c>
      <c r="I25" s="17">
        <f>AVERAGE(F25:H27)</f>
        <v>15.674444444444443</v>
      </c>
      <c r="J25" s="18">
        <v>0.19673021572137253</v>
      </c>
      <c r="K25" s="18">
        <v>1.255101681074894</v>
      </c>
      <c r="L25" s="12">
        <v>15.42</v>
      </c>
      <c r="M25" s="12">
        <v>15.4</v>
      </c>
      <c r="N25" s="39">
        <v>15.12</v>
      </c>
      <c r="O25" s="18">
        <f>AVERAGE(L25:N27)</f>
        <v>15.476666666666668</v>
      </c>
      <c r="P25" s="18">
        <v>0.32011716605018264</v>
      </c>
      <c r="Q25" s="18">
        <v>2.068385737993857</v>
      </c>
      <c r="R25" s="19">
        <f>O25-(I25-I24)</f>
        <v>15.201666666666702</v>
      </c>
    </row>
    <row r="26" spans="8:8" ht="15.75">
      <c r="C26" s="40"/>
      <c r="D26" s="40"/>
      <c r="E26" s="11">
        <v>2.0</v>
      </c>
      <c r="F26" s="12">
        <v>15.5</v>
      </c>
      <c r="G26" s="12">
        <v>15.9</v>
      </c>
      <c r="H26" s="39">
        <v>15.69</v>
      </c>
      <c r="I26" s="23"/>
      <c r="J26" s="24"/>
      <c r="K26" s="24"/>
      <c r="L26" s="12">
        <v>15.47</v>
      </c>
      <c r="M26" s="12">
        <v>15.65</v>
      </c>
      <c r="N26" s="39">
        <v>15.46</v>
      </c>
      <c r="O26" s="24"/>
      <c r="P26" s="24"/>
      <c r="Q26" s="24"/>
      <c r="R26" s="25"/>
    </row>
    <row r="27" spans="8:8" ht="15.75">
      <c r="C27" s="10"/>
      <c r="D27" s="10"/>
      <c r="E27" s="41">
        <v>3.0</v>
      </c>
      <c r="F27" s="42">
        <v>15.98</v>
      </c>
      <c r="G27" s="75">
        <v>15.52</v>
      </c>
      <c r="H27" s="76">
        <v>15.46</v>
      </c>
      <c r="I27" s="28"/>
      <c r="J27" s="29"/>
      <c r="K27" s="29"/>
      <c r="L27" s="42">
        <v>15.26</v>
      </c>
      <c r="M27" s="75">
        <v>16.23</v>
      </c>
      <c r="N27" s="76">
        <v>15.28</v>
      </c>
      <c r="O27" s="29"/>
      <c r="P27" s="29"/>
      <c r="Q27" s="29"/>
      <c r="R27" s="30"/>
    </row>
    <row r="28" spans="8:8">
      <c r="C28" s="77" t="s">
        <v>38</v>
      </c>
      <c r="D28" s="78"/>
      <c r="E28" s="79">
        <v>57.6</v>
      </c>
    </row>
    <row r="29" spans="8:8">
      <c r="G29" s="80" t="s">
        <v>35</v>
      </c>
      <c r="H29" s="80"/>
      <c r="I29" s="80"/>
      <c r="J29" s="80"/>
      <c r="K29" s="80"/>
      <c r="L29" s="80"/>
    </row>
    <row r="30" spans="8:8" ht="15.75">
      <c r="G30" s="81"/>
      <c r="H30" s="82" t="s">
        <v>22</v>
      </c>
      <c r="I30" s="83" t="s">
        <v>34</v>
      </c>
      <c r="J30" s="83"/>
      <c r="K30" s="83"/>
      <c r="L30" s="83"/>
    </row>
    <row r="31" spans="8:8" ht="5.1" customHeight="1">
      <c r="G31" s="81"/>
      <c r="H31" s="84"/>
      <c r="I31" s="85"/>
      <c r="J31" s="85"/>
      <c r="K31" s="85"/>
      <c r="L31" s="85"/>
    </row>
    <row r="32" spans="8:8">
      <c r="C32" s="86" t="s">
        <v>44</v>
      </c>
      <c r="H32" s="87"/>
      <c r="I32" s="80" t="s">
        <v>49</v>
      </c>
      <c r="J32" s="80"/>
    </row>
    <row r="33" spans="8:8">
      <c r="C33" t="s">
        <v>48</v>
      </c>
      <c r="H33" s="88" t="s">
        <v>50</v>
      </c>
      <c r="I33" s="89">
        <f>(4*R21)+(2*R18)-(2*R15)-(4*R12)</f>
        <v>16.4444444444443</v>
      </c>
      <c r="J33" s="89"/>
      <c r="K33" s="89"/>
    </row>
    <row r="34" spans="8:8">
      <c r="C34" t="s">
        <v>45</v>
      </c>
      <c r="H34" s="84"/>
      <c r="I34" s="85"/>
      <c r="J34" s="85"/>
      <c r="K34" s="85"/>
    </row>
    <row r="35" spans="8:8">
      <c r="C35" t="s">
        <v>40</v>
      </c>
      <c r="H35" s="87"/>
      <c r="I35" s="90" t="s">
        <v>52</v>
      </c>
      <c r="J35" s="90"/>
      <c r="K35" s="85"/>
    </row>
    <row r="36" spans="8:8">
      <c r="H36" s="87" t="s">
        <v>50</v>
      </c>
      <c r="I36" s="91">
        <f>LN(D21)-LN(D12)</f>
        <v>0.8926827180885906</v>
      </c>
      <c r="J36" s="92"/>
      <c r="K36" s="85"/>
    </row>
    <row r="37" spans="8:8" ht="5.1" customHeight="1">
      <c r="H37" s="93"/>
      <c r="I37" s="92"/>
      <c r="J37" s="92"/>
      <c r="K37" s="85"/>
    </row>
    <row r="38" spans="8:8">
      <c r="H38" s="87"/>
      <c r="I38" s="90" t="s">
        <v>51</v>
      </c>
      <c r="J38" s="90"/>
      <c r="K38" s="85"/>
    </row>
    <row r="39" spans="8:8">
      <c r="D39" s="88"/>
      <c r="H39" s="88"/>
      <c r="I39" s="89">
        <f>5*I36</f>
        <v>4.463413590442952</v>
      </c>
      <c r="J39" s="89"/>
      <c r="K39" s="89"/>
    </row>
    <row r="40" spans="8:8" ht="5.1" customHeight="1">
      <c r="D40" s="84"/>
      <c r="H40" s="84"/>
      <c r="I40" s="85"/>
      <c r="J40" s="85"/>
      <c r="K40" s="85"/>
    </row>
    <row r="41" spans="8:8">
      <c r="D41" s="84"/>
      <c r="H41" s="87" t="s">
        <v>58</v>
      </c>
      <c r="I41" s="94" t="s">
        <v>34</v>
      </c>
      <c r="J41" s="94"/>
      <c r="K41" s="94"/>
    </row>
    <row r="42" spans="8:8">
      <c r="D42" s="84"/>
      <c r="H42" s="87" t="s">
        <v>22</v>
      </c>
      <c r="I42" s="95">
        <f>I33/I39</f>
        <v>3.684275299885965</v>
      </c>
      <c r="J42" s="95"/>
      <c r="K42" s="85"/>
    </row>
    <row r="43" spans="8:8" ht="5.1" customHeight="1">
      <c r="D43" s="84"/>
      <c r="G43" s="84"/>
      <c r="H43" s="85"/>
      <c r="I43" s="85"/>
      <c r="J43" s="85"/>
      <c r="K43" s="85"/>
    </row>
    <row r="44" spans="8:8">
      <c r="D44" s="88"/>
      <c r="H44" s="80" t="s">
        <v>36</v>
      </c>
      <c r="I44" s="80"/>
      <c r="J44" s="80"/>
      <c r="K44" s="80"/>
    </row>
    <row r="45" spans="8:8">
      <c r="H45" s="88" t="s">
        <v>23</v>
      </c>
      <c r="I45" s="89" t="s">
        <v>24</v>
      </c>
      <c r="J45" s="89"/>
      <c r="K45" s="89"/>
    </row>
    <row r="46" spans="8:8">
      <c r="H46" s="88" t="s">
        <v>23</v>
      </c>
      <c r="I46" s="89">
        <f>(R12+R15+R18+R21+I24)/5</f>
        <v>15.186111111111128</v>
      </c>
      <c r="J46" s="89"/>
      <c r="K46" s="89"/>
    </row>
    <row r="47" spans="8:8" ht="5.1" customHeight="1">
      <c r="D47" s="88"/>
      <c r="H47" s="88"/>
      <c r="I47" s="89"/>
      <c r="J47" s="89"/>
      <c r="K47" s="89"/>
    </row>
    <row r="48" spans="8:8" ht="15.75">
      <c r="D48" s="88"/>
      <c r="F48" s="96" t="s">
        <v>37</v>
      </c>
      <c r="G48" s="96"/>
      <c r="H48" s="96"/>
      <c r="I48" s="96"/>
      <c r="J48" s="89" t="s">
        <v>39</v>
      </c>
      <c r="K48" s="89"/>
      <c r="L48" s="89"/>
      <c r="M48" s="89"/>
      <c r="N48" s="89"/>
      <c r="O48" s="97"/>
    </row>
    <row r="49" spans="8:8">
      <c r="F49" s="96" t="s">
        <v>37</v>
      </c>
      <c r="G49" s="96"/>
      <c r="H49" s="96"/>
      <c r="I49" s="96"/>
      <c r="J49" s="89">
        <f>LN(E28)+(R25-I46)/I42</f>
        <v>4.057744715692815</v>
      </c>
      <c r="K49" s="89"/>
    </row>
    <row r="50" spans="8:8">
      <c r="F50" s="96" t="s">
        <v>37</v>
      </c>
      <c r="G50" s="96"/>
      <c r="H50" s="96"/>
      <c r="I50" s="96"/>
      <c r="J50" s="95">
        <f>EXP(J49)</f>
        <v>57.843709851768615</v>
      </c>
      <c r="K50" s="95"/>
    </row>
    <row r="51" spans="8:8">
      <c r="D51" s="88"/>
      <c r="I51" s="88"/>
    </row>
    <row r="52" spans="8:8">
      <c r="D52" s="88"/>
      <c r="G52" s="98"/>
      <c r="H52" s="99" t="s">
        <v>41</v>
      </c>
      <c r="I52" s="99"/>
      <c r="J52" s="89" t="s">
        <v>42</v>
      </c>
      <c r="K52" s="89"/>
      <c r="L52" s="89"/>
      <c r="M52" s="89"/>
    </row>
    <row r="53" spans="8:8">
      <c r="H53" s="99" t="s">
        <v>41</v>
      </c>
      <c r="I53" s="99"/>
      <c r="J53">
        <f>(J50/E28)*100</f>
        <v>100.42310738154274</v>
      </c>
      <c r="K53" t="s">
        <v>43</v>
      </c>
    </row>
    <row r="54" spans="8:8">
      <c r="H54" s="100"/>
      <c r="I54" s="100"/>
    </row>
    <row r="55" spans="8:8">
      <c r="D55" s="88" t="s">
        <v>46</v>
      </c>
      <c r="E55" s="58"/>
      <c r="P55" t="s">
        <v>47</v>
      </c>
      <c r="R55" s="58"/>
    </row>
    <row r="56" spans="8:8">
      <c r="C56" s="99"/>
      <c r="D56" s="99"/>
    </row>
  </sheetData>
  <mergeCells count="84">
    <mergeCell ref="R12:R14"/>
    <mergeCell ref="E10:E11"/>
    <mergeCell ref="D12:D14"/>
    <mergeCell ref="E3:O3"/>
    <mergeCell ref="P3:Q3"/>
    <mergeCell ref="Q18:Q20"/>
    <mergeCell ref="I32:J32"/>
    <mergeCell ref="J21:J23"/>
    <mergeCell ref="O21:O23"/>
    <mergeCell ref="I38:J38"/>
    <mergeCell ref="F49:I49"/>
    <mergeCell ref="F50:I50"/>
    <mergeCell ref="J49:K49"/>
    <mergeCell ref="C15:C17"/>
    <mergeCell ref="P21:P23"/>
    <mergeCell ref="D21:D23"/>
    <mergeCell ref="I47:K47"/>
    <mergeCell ref="Q21:Q23"/>
    <mergeCell ref="F48:I48"/>
    <mergeCell ref="Q25:Q27"/>
    <mergeCell ref="C28:D28"/>
    <mergeCell ref="O18:O20"/>
    <mergeCell ref="I33:K33"/>
    <mergeCell ref="C25:C27"/>
    <mergeCell ref="K18:K20"/>
    <mergeCell ref="K25:K27"/>
    <mergeCell ref="J25:J27"/>
    <mergeCell ref="I18:I20"/>
    <mergeCell ref="J18:J20"/>
    <mergeCell ref="C10:C11"/>
    <mergeCell ref="Q12:Q14"/>
    <mergeCell ref="R10:R11"/>
    <mergeCell ref="C12:C14"/>
    <mergeCell ref="C56:D56"/>
    <mergeCell ref="P18:P20"/>
    <mergeCell ref="J15:J17"/>
    <mergeCell ref="P25:P27"/>
    <mergeCell ref="H52:I52"/>
    <mergeCell ref="C18:C20"/>
    <mergeCell ref="D8:E8"/>
    <mergeCell ref="O12:O14"/>
    <mergeCell ref="L10:Q10"/>
    <mergeCell ref="R21:R23"/>
    <mergeCell ref="D18:D20"/>
    <mergeCell ref="Q15:Q17"/>
    <mergeCell ref="C21:C23"/>
    <mergeCell ref="H53:I53"/>
    <mergeCell ref="O25:O27"/>
    <mergeCell ref="H44:K44"/>
    <mergeCell ref="I39:K39"/>
    <mergeCell ref="I25:I27"/>
    <mergeCell ref="I30:L30"/>
    <mergeCell ref="J52:M52"/>
    <mergeCell ref="J48:N48"/>
    <mergeCell ref="I21:I23"/>
    <mergeCell ref="I46:K46"/>
    <mergeCell ref="I45:K45"/>
    <mergeCell ref="K21:K23"/>
    <mergeCell ref="I35:J35"/>
    <mergeCell ref="P12:P14"/>
    <mergeCell ref="D6:E6"/>
    <mergeCell ref="P1:Q1"/>
    <mergeCell ref="P2:Q2"/>
    <mergeCell ref="R15:R17"/>
    <mergeCell ref="D15:D17"/>
    <mergeCell ref="P15:P17"/>
    <mergeCell ref="K15:K17"/>
    <mergeCell ref="I15:I17"/>
    <mergeCell ref="R18:R20"/>
    <mergeCell ref="J24:R24"/>
    <mergeCell ref="R25:R27"/>
    <mergeCell ref="O15:O17"/>
    <mergeCell ref="D25:D27"/>
    <mergeCell ref="C24:H24"/>
    <mergeCell ref="G29:L29"/>
    <mergeCell ref="C1:D3"/>
    <mergeCell ref="K12:K14"/>
    <mergeCell ref="E1:O1"/>
    <mergeCell ref="J12:J14"/>
    <mergeCell ref="D10:D11"/>
    <mergeCell ref="F10:K10"/>
    <mergeCell ref="I12:I14"/>
    <mergeCell ref="D7:E7"/>
    <mergeCell ref="E2:O2"/>
  </mergeCells>
  <printOptions horizontalCentered="1" verticalCentered="1"/>
  <pageMargins left="0.0" right="0.0" top="0.39" bottom="0.25" header="0.3" footer="0.05"/>
  <pageSetup paperSize="9" scale="64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Masood Nabi</dc:creator>
  <cp:lastModifiedBy>Asad Wasim</cp:lastModifiedBy>
  <dcterms:created xsi:type="dcterms:W3CDTF">2021-11-25T10:55:19Z</dcterms:created>
  <dcterms:modified xsi:type="dcterms:W3CDTF">2022-11-02T15:10:05Z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fb4fde1754ca4b70a9f4cb984678aeef</vt:lpwstr>
  </property>
</Properties>
</file>